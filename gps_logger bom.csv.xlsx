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hakk\Downloads\"/>
    </mc:Choice>
  </mc:AlternateContent>
  <xr:revisionPtr revIDLastSave="0" documentId="8_{67F2DFAF-A470-4749-B78E-859077BF25B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gps_logger bom" sheetId="1" r:id="rId1"/>
    <sheet name="PCB-PCBA Costin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5" i="1" l="1"/>
  <c r="J32" i="1"/>
  <c r="J33" i="1"/>
  <c r="J34" i="1"/>
  <c r="J35" i="1"/>
  <c r="J37" i="1"/>
  <c r="B22" i="2"/>
  <c r="B21" i="2"/>
  <c r="B20" i="2"/>
  <c r="B19" i="2"/>
  <c r="B18" i="2"/>
  <c r="B17" i="2"/>
  <c r="B23" i="2" s="1"/>
  <c r="I33" i="1"/>
  <c r="J30" i="1"/>
  <c r="I30" i="1"/>
  <c r="I29" i="1"/>
  <c r="J29" i="1" s="1"/>
  <c r="I28" i="1"/>
  <c r="J28" i="1" s="1"/>
  <c r="J27" i="1"/>
  <c r="I27" i="1"/>
  <c r="I26" i="1"/>
  <c r="J26" i="1" s="1"/>
  <c r="J25" i="1"/>
  <c r="I25" i="1"/>
  <c r="J24" i="1"/>
  <c r="I24" i="1"/>
  <c r="I23" i="1"/>
  <c r="J23" i="1" s="1"/>
  <c r="I22" i="1"/>
  <c r="J22" i="1" s="1"/>
  <c r="J21" i="1"/>
  <c r="I21" i="1"/>
  <c r="I20" i="1"/>
  <c r="J20" i="1" s="1"/>
  <c r="J19" i="1"/>
  <c r="I19" i="1"/>
  <c r="J18" i="1"/>
  <c r="I18" i="1"/>
  <c r="I17" i="1"/>
  <c r="J17" i="1" s="1"/>
  <c r="I16" i="1"/>
  <c r="J16" i="1" s="1"/>
  <c r="J15" i="1"/>
  <c r="I15" i="1"/>
  <c r="I14" i="1"/>
  <c r="J14" i="1" s="1"/>
  <c r="J13" i="1"/>
  <c r="I13" i="1"/>
  <c r="J12" i="1"/>
  <c r="I12" i="1"/>
  <c r="I11" i="1"/>
  <c r="J11" i="1" s="1"/>
  <c r="I10" i="1"/>
  <c r="J10" i="1" s="1"/>
  <c r="J9" i="1"/>
  <c r="I9" i="1"/>
  <c r="I8" i="1"/>
  <c r="J8" i="1" s="1"/>
  <c r="J7" i="1"/>
  <c r="I7" i="1"/>
  <c r="J6" i="1"/>
  <c r="I6" i="1"/>
  <c r="I5" i="1"/>
  <c r="J5" i="1" s="1"/>
  <c r="I4" i="1"/>
  <c r="J4" i="1" s="1"/>
  <c r="J3" i="1"/>
  <c r="I3" i="1"/>
  <c r="I2" i="1"/>
  <c r="J2" i="1" s="1"/>
  <c r="I34" i="1" l="1"/>
  <c r="I32" i="1"/>
</calcChain>
</file>

<file path=xl/sharedStrings.xml><?xml version="1.0" encoding="utf-8"?>
<sst xmlns="http://schemas.openxmlformats.org/spreadsheetml/2006/main" count="264" uniqueCount="196">
  <si>
    <t>Reference</t>
  </si>
  <si>
    <t>Qty / board</t>
  </si>
  <si>
    <t>Value</t>
  </si>
  <si>
    <t>Footprint</t>
  </si>
  <si>
    <t>Part used (MPN)</t>
  </si>
  <si>
    <t>Supplier #</t>
  </si>
  <si>
    <t>Unit price ($)</t>
  </si>
  <si>
    <t>Price basis</t>
  </si>
  <si>
    <t>Ext. / board ($)</t>
  </si>
  <si>
    <t>Ext. all boards ($)</t>
  </si>
  <si>
    <t>Confidence</t>
  </si>
  <si>
    <t>BZ1</t>
  </si>
  <si>
    <t>Buzzer</t>
  </si>
  <si>
    <t>Buzzer_Beeper:Buzzer_12x9.5RM7.6</t>
  </si>
  <si>
    <t>THT magnetic buzzer D12xL9.5 (MPN not in BOM)</t>
  </si>
  <si>
    <t>(LCSC category)</t>
  </si>
  <si>
    <t>LCSC category listing $0.93-$1.11</t>
  </si>
  <si>
    <t>Low</t>
  </si>
  <si>
    <t>C1,C3,C4,C5,C6,C8</t>
  </si>
  <si>
    <t>10uF</t>
  </si>
  <si>
    <t>C_0805</t>
  </si>
  <si>
    <t>Samsung CL21A106KAYNNNE 10uF 25V X5R</t>
  </si>
  <si>
    <t>LCSC C15850</t>
  </si>
  <si>
    <t>20+ tier (JLCPCB shows $0.0215 @1+)</t>
  </si>
  <si>
    <t>High</t>
  </si>
  <si>
    <t>C2</t>
  </si>
  <si>
    <t>1uF</t>
  </si>
  <si>
    <t>0805 1uF X7R/X5R MLCC</t>
  </si>
  <si>
    <t>(basic part)</t>
  </si>
  <si>
    <t>Typical 0805 1uF price, 50+</t>
  </si>
  <si>
    <t>C7,C10,C11,C12</t>
  </si>
  <si>
    <t>100nF</t>
  </si>
  <si>
    <t>Samsung CL21B104KBCNNNC 100nF 50V X7R</t>
  </si>
  <si>
    <t>LCSC C1711</t>
  </si>
  <si>
    <t>50+ tier</t>
  </si>
  <si>
    <t>C9</t>
  </si>
  <si>
    <t>47pF</t>
  </si>
  <si>
    <t>0805 47pF C0G MLCC</t>
  </si>
  <si>
    <t>Typical 0805 C0G price, 50+</t>
  </si>
  <si>
    <t>D1</t>
  </si>
  <si>
    <t>1N4148</t>
  </si>
  <si>
    <t>D_DO-35 THT</t>
  </si>
  <si>
    <t>Changzhou Starsea 1N4148 DO-35</t>
  </si>
  <si>
    <t>LCSC C85057</t>
  </si>
  <si>
    <t>D2</t>
  </si>
  <si>
    <t>LED</t>
  </si>
  <si>
    <t>LED_0805</t>
  </si>
  <si>
    <t>Nationstar NCD0805R1 (red)</t>
  </si>
  <si>
    <t>LCSC C84256</t>
  </si>
  <si>
    <t>Medium</t>
  </si>
  <si>
    <t>J1</t>
  </si>
  <si>
    <t>USB_C_Receptacle_USB2.0_16P</t>
  </si>
  <si>
    <t>USB_C_HRO_TYPE-C-31-M-12</t>
  </si>
  <si>
    <t>Korean Hroparts TYPE-C-31-M-12</t>
  </si>
  <si>
    <t>LCSC C165948</t>
  </si>
  <si>
    <t>5+ tier</t>
  </si>
  <si>
    <t>J3</t>
  </si>
  <si>
    <t>Micro_SD_Card</t>
  </si>
  <si>
    <t>microSD_HC_Hirose_DM3AT-SF-PEJM5</t>
  </si>
  <si>
    <t>Hirose DM3AT-SF-PEJM5</t>
  </si>
  <si>
    <t>LCSC C114218</t>
  </si>
  <si>
    <t>1+ tier (10+ $0.9573)</t>
  </si>
  <si>
    <t>J4</t>
  </si>
  <si>
    <t>Conn_01x02_Pin</t>
  </si>
  <si>
    <t>JST_PH_B2B-PH-K_1x02</t>
  </si>
  <si>
    <t>JST B2B-PH-K-S(LF)(SN)</t>
  </si>
  <si>
    <t>LCSC C131337</t>
  </si>
  <si>
    <t>20+ tier</t>
  </si>
  <si>
    <t>JP1</t>
  </si>
  <si>
    <t>U.FL-R-SMT-1</t>
  </si>
  <si>
    <t>UFL-R-SMT-1-10</t>
  </si>
  <si>
    <t>HRS U.FL-R-SMT-1(10)</t>
  </si>
  <si>
    <t>LCSC C88373</t>
  </si>
  <si>
    <t>L1</t>
  </si>
  <si>
    <t>27nH</t>
  </si>
  <si>
    <t>L_0805</t>
  </si>
  <si>
    <t>EMTEK HSC0805-27NJ-T</t>
  </si>
  <si>
    <t>LCSC C251825</t>
  </si>
  <si>
    <t>Q1</t>
  </si>
  <si>
    <t>2N3904</t>
  </si>
  <si>
    <t>TO-92</t>
  </si>
  <si>
    <t>ST(Semtech) 2N3904</t>
  </si>
  <si>
    <t>LCSC C118538</t>
  </si>
  <si>
    <t>R1,R4,R12</t>
  </si>
  <si>
    <t>10k</t>
  </si>
  <si>
    <t>R_0805</t>
  </si>
  <si>
    <t>0805 1% thick-film</t>
  </si>
  <si>
    <t>100+ tier of same-class Yageo 0805 1%</t>
  </si>
  <si>
    <t>R2,R3</t>
  </si>
  <si>
    <t>5k</t>
  </si>
  <si>
    <t>same</t>
  </si>
  <si>
    <t>R5</t>
  </si>
  <si>
    <t>1.5k</t>
  </si>
  <si>
    <t>R6</t>
  </si>
  <si>
    <t>1.8k</t>
  </si>
  <si>
    <t>R7,R8</t>
  </si>
  <si>
    <t>100k</t>
  </si>
  <si>
    <t>R9</t>
  </si>
  <si>
    <t>2.1k</t>
  </si>
  <si>
    <t>R10,R11</t>
  </si>
  <si>
    <t>4.7k</t>
  </si>
  <si>
    <t>R13,R14</t>
  </si>
  <si>
    <t>1k</t>
  </si>
  <si>
    <t>SW1-SW5</t>
  </si>
  <si>
    <t>SW_Push</t>
  </si>
  <si>
    <t>SW_SPST_PTS645Sx43SMTR92</t>
  </si>
  <si>
    <t>C&amp;K PTS645SM43SMTR92LFS</t>
  </si>
  <si>
    <t>LCSC C221880</t>
  </si>
  <si>
    <t>10+ tier</t>
  </si>
  <si>
    <t>U1</t>
  </si>
  <si>
    <t>ESP32-S3-WROOM-1</t>
  </si>
  <si>
    <t>WIRELM-SMD_ESP32-S3-WROOM-1</t>
  </si>
  <si>
    <t>Espressif ESP32-S3-WROOM-1-N16R8</t>
  </si>
  <si>
    <t>LCSC C2913202</t>
  </si>
  <si>
    <t>1+ tier (10+ $4.9139)</t>
  </si>
  <si>
    <t>U2</t>
  </si>
  <si>
    <t>BQ24074RGT</t>
  </si>
  <si>
    <t>VQFN-16-1EP_3x3mm</t>
  </si>
  <si>
    <t>TI BQ24074RGTR</t>
  </si>
  <si>
    <t>LCSC C54313</t>
  </si>
  <si>
    <t>1+ tier (10+ $1.3859)</t>
  </si>
  <si>
    <t>U3</t>
  </si>
  <si>
    <t>AP2112K-3.3</t>
  </si>
  <si>
    <t>SOT-23-5</t>
  </si>
  <si>
    <t>Diodes AP2112K-3.3TRG1</t>
  </si>
  <si>
    <t>LCSC C51118</t>
  </si>
  <si>
    <t>U4</t>
  </si>
  <si>
    <t>USBLC6-2SC6</t>
  </si>
  <si>
    <t>SOT-23-6</t>
  </si>
  <si>
    <t>ST USBLC6-2SC6</t>
  </si>
  <si>
    <t>LCSC C7519</t>
  </si>
  <si>
    <t>5+ tier (another mirror $0.1069)</t>
  </si>
  <si>
    <t>U5</t>
  </si>
  <si>
    <t>NEO-M9N</t>
  </si>
  <si>
    <t>RF_GPS:ublox_NEO</t>
  </si>
  <si>
    <t>u-blox NEO-M9N-00B</t>
  </si>
  <si>
    <t>LCSC C5119087</t>
  </si>
  <si>
    <t>qty-1 price via Flux listing; Mouser $15.68, Digi-Key $27</t>
  </si>
  <si>
    <t>U6</t>
  </si>
  <si>
    <t>ER_OLEDM0.91_1x-I2C</t>
  </si>
  <si>
    <t>Display:ER_OLEDM0.91_1x-I2C</t>
  </si>
  <si>
    <t>BuyDisplay ER-OLEDM0.91-1W-I2C (white assumed)</t>
  </si>
  <si>
    <t>buydisplay.com</t>
  </si>
  <si>
    <t>1 pc (10+ $2.73)</t>
  </si>
  <si>
    <t>U7</t>
  </si>
  <si>
    <t>BMI270</t>
  </si>
  <si>
    <t>LGA-14_L3.0-W2.5</t>
  </si>
  <si>
    <t>Bosch BMI270</t>
  </si>
  <si>
    <t>LCSC C2836813</t>
  </si>
  <si>
    <t>1+ tier (mirrors $1.80-$1.84)</t>
  </si>
  <si>
    <t>Components total</t>
  </si>
  <si>
    <t>PCB fabrication</t>
  </si>
  <si>
    <t>PCBA assembly fees</t>
  </si>
  <si>
    <t>GRAND TOTAL (excl. shipping &amp; tax)</t>
  </si>
  <si>
    <t>Boards in this estimate</t>
  </si>
  <si>
    <t>Cost per assembled board</t>
  </si>
  <si>
    <t>PCB + PCBA costing (JLCPCB) and global inputs</t>
  </si>
  <si>
    <t>Input</t>
  </si>
  <si>
    <t>Note / basis</t>
  </si>
  <si>
    <t>Source</t>
  </si>
  <si>
    <t>Boards ordered (N)</t>
  </si>
  <si>
    <t>Assumption: JLCPCB standard minimum is 5 pcs. Change to your real quantity.</t>
  </si>
  <si>
    <t>PCB fabrication, total ($)</t>
  </si>
  <si>
    <t>JLCPCB 'from $2.00 / 5 pcs' (2-layer, small). Board size/layers are NOT in the BOM; an ESP32 + GNSS board is often 4-layer, which costs more. Get a real Instant Quote.</t>
  </si>
  <si>
    <t>https://jlcpcb.com/</t>
  </si>
  <si>
    <t>PCBA setup fee ($)</t>
  </si>
  <si>
    <t>Standard PCBA, single-side. Chosen over Economic because this BOM has ~12 extended part types (Economic charges $3 each) plus through-hole parts.</t>
  </si>
  <si>
    <t>https://jlcpcb.com/help/article/pcb-assembly-price</t>
  </si>
  <si>
    <t>PCBA stencil ($)</t>
  </si>
  <si>
    <t>Standard PCBA, single-side</t>
  </si>
  <si>
    <t>SMT joints per board</t>
  </si>
  <si>
    <t>ESTIMATE from footprints: caps 24, resistors 28, LED/inductor 4, switches 20, USB-C ~20, microSD ~12, U.FL 3, ESP32 41, BQ24074 17, SOT-23 parts 11, NEO-M9N 24, BMI270 14</t>
  </si>
  <si>
    <t>SMT fee per joint ($)</t>
  </si>
  <si>
    <t>JLCPCB PCBA rate</t>
  </si>
  <si>
    <t>https://jlcpcb.com/pcb-assembly</t>
  </si>
  <si>
    <t>THT joints per board</t>
  </si>
  <si>
    <t>ESTIMATE: buzzer 2, 1N4148 2, JST 2, 2N3904 3. OLED (U6) assumed hand-soldered by you.</t>
  </si>
  <si>
    <t>Hand-soldering labor fee, once ($)</t>
  </si>
  <si>
    <t>JLCPCB through-hole labor fee</t>
  </si>
  <si>
    <t>https://jlcpcb.com/help/article/pcb-assembly-faqs</t>
  </si>
  <si>
    <t>Manual assembly fee per THT joint ($)</t>
  </si>
  <si>
    <t>JLCPCB FAQ</t>
  </si>
  <si>
    <t>Extended-part fee ($, Standard PCBA)</t>
  </si>
  <si>
    <t>Extended fee applies to Economic PCBA only. For comparison, Economic = $8.18 + $1.53 + ~12 types x $3 = ~$45.7 vs Standard $33.77 fixed.</t>
  </si>
  <si>
    <t>PCBA cost breakdown (all N boards)</t>
  </si>
  <si>
    <t>Setup fee</t>
  </si>
  <si>
    <t>Stencil</t>
  </si>
  <si>
    <t>SMT assembly</t>
  </si>
  <si>
    <t>Hand-soldering labor</t>
  </si>
  <si>
    <t>Manual THT assembly</t>
  </si>
  <si>
    <t>Extended part fees</t>
  </si>
  <si>
    <t>PCBA assembly fees total</t>
  </si>
  <si>
    <t>Notes</t>
  </si>
  <si>
    <t>Parts ordered through JLCPCB are priced by JLCPCB (basic passives are often cheaper than the LCSC prices used here). Some parts may need 'Global Sourcing' with a handling fee.</t>
  </si>
  <si>
    <t>LCSC minimum order quantities (20/50/100 pcs for small parts) can make a tiny order cost more than qty x unit price. JLCPCB lets you buy exact quantities for PCBA.</t>
  </si>
  <si>
    <t>Not included: shipping, import duties/GST, tax, coupons, battery, antenna, microSD card, enclosure.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</si>
</sst>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00"/>
    <numFmt numFmtId="165" formatCode="\$#,##0.00"/>
  </numFmts>
  <fonts count="7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b/>
      <sz val="10"/>
      <name val="Arial"/>
      <charset val="1"/>
    </font>
    <font>
      <i/>
      <sz val="9"/>
      <name val="Arial"/>
      <charset val="1"/>
    </font>
    <font>
      <b/>
      <sz val="12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164" fontId="3" fillId="3" borderId="1" xfId="0" applyNumberFormat="1" applyFont="1" applyFill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165" fontId="2" fillId="0" borderId="1" xfId="0" applyNumberFormat="1" applyFont="1" applyBorder="1" applyAlignment="1">
      <alignment vertical="top" wrapText="1"/>
    </xf>
    <xf numFmtId="164" fontId="3" fillId="0" borderId="1" xfId="0" applyNumberFormat="1" applyFont="1" applyBorder="1" applyAlignment="1">
      <alignment vertical="top" wrapText="1"/>
    </xf>
    <xf numFmtId="0" fontId="4" fillId="0" borderId="0" xfId="0" applyFont="1"/>
    <xf numFmtId="165" fontId="4" fillId="0" borderId="0" xfId="0" applyNumberFormat="1" applyFont="1"/>
    <xf numFmtId="165" fontId="4" fillId="3" borderId="0" xfId="0" applyNumberFormat="1" applyFont="1" applyFill="1"/>
    <xf numFmtId="0" fontId="5" fillId="0" borderId="0" xfId="0" applyFont="1"/>
    <xf numFmtId="0" fontId="6" fillId="0" borderId="0" xfId="0" applyFont="1"/>
    <xf numFmtId="0" fontId="1" fillId="2" borderId="0" xfId="0" applyFont="1" applyFill="1"/>
    <xf numFmtId="0" fontId="2" fillId="0" borderId="0" xfId="0" applyFont="1"/>
    <xf numFmtId="0" fontId="3" fillId="3" borderId="0" xfId="0" applyFont="1" applyFill="1"/>
    <xf numFmtId="0" fontId="2" fillId="0" borderId="0" xfId="0" applyFont="1" applyAlignment="1">
      <alignment vertical="top" wrapText="1"/>
    </xf>
    <xf numFmtId="165" fontId="3" fillId="3" borderId="0" xfId="0" applyNumberFormat="1" applyFont="1" applyFill="1"/>
    <xf numFmtId="164" fontId="3" fillId="3" borderId="0" xfId="0" applyNumberFormat="1" applyFont="1" applyFill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tabSelected="1" zoomScaleNormal="100" workbookViewId="0">
      <pane ySplit="1" topLeftCell="A2" activePane="bottomLeft" state="frozen"/>
      <selection pane="bottomLeft" activeCell="F3" sqref="A3:F3"/>
    </sheetView>
  </sheetViews>
  <sheetFormatPr defaultColWidth="8.6640625" defaultRowHeight="14.4" x14ac:dyDescent="0.3"/>
  <cols>
    <col min="1" max="1" width="18" customWidth="1"/>
    <col min="2" max="2" width="9" customWidth="1"/>
    <col min="3" max="3" width="22" customWidth="1"/>
    <col min="4" max="4" width="34" customWidth="1"/>
    <col min="5" max="5" width="36" customWidth="1"/>
    <col min="6" max="6" width="16" customWidth="1"/>
    <col min="7" max="7" width="12" customWidth="1"/>
    <col min="8" max="8" width="34" customWidth="1"/>
    <col min="9" max="9" width="13" customWidth="1"/>
    <col min="10" max="10" width="15" customWidth="1"/>
    <col min="11" max="11" width="11" customWidth="1"/>
    <col min="12" max="12" width="80" customWidth="1"/>
  </cols>
  <sheetData>
    <row r="1" spans="1:12" ht="31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2" ht="26.4" x14ac:dyDescent="0.3">
      <c r="A2" s="2" t="s">
        <v>11</v>
      </c>
      <c r="B2" s="2">
        <v>1</v>
      </c>
      <c r="C2" s="2" t="s">
        <v>12</v>
      </c>
      <c r="D2" s="2" t="s">
        <v>13</v>
      </c>
      <c r="E2" s="2" t="s">
        <v>14</v>
      </c>
      <c r="F2" s="2" t="s">
        <v>15</v>
      </c>
      <c r="G2" s="3">
        <v>1</v>
      </c>
      <c r="H2" s="2" t="s">
        <v>16</v>
      </c>
      <c r="I2" s="4">
        <f t="shared" ref="I2:I30" si="0">B2*G2</f>
        <v>1</v>
      </c>
      <c r="J2" s="5">
        <f>I2*'PCB-PCBA Costing'!$B$4</f>
        <v>5</v>
      </c>
      <c r="K2" s="2" t="s">
        <v>17</v>
      </c>
      <c r="L2" s="2"/>
    </row>
    <row r="3" spans="1:12" ht="26.4" x14ac:dyDescent="0.3">
      <c r="A3" s="2" t="s">
        <v>18</v>
      </c>
      <c r="B3" s="2">
        <v>6</v>
      </c>
      <c r="C3" s="2" t="s">
        <v>19</v>
      </c>
      <c r="D3" s="2" t="s">
        <v>20</v>
      </c>
      <c r="E3" s="2" t="s">
        <v>21</v>
      </c>
      <c r="F3" s="2" t="s">
        <v>22</v>
      </c>
      <c r="G3" s="6">
        <v>4.7699999999999999E-2</v>
      </c>
      <c r="H3" s="2" t="s">
        <v>23</v>
      </c>
      <c r="I3" s="4">
        <f t="shared" si="0"/>
        <v>0.28620000000000001</v>
      </c>
      <c r="J3" s="5">
        <f>I3*'PCB-PCBA Costing'!$B$4</f>
        <v>1.431</v>
      </c>
      <c r="K3" s="2" t="s">
        <v>24</v>
      </c>
      <c r="L3" s="2"/>
    </row>
    <row r="4" spans="1:12" x14ac:dyDescent="0.3">
      <c r="A4" s="2" t="s">
        <v>25</v>
      </c>
      <c r="B4" s="2">
        <v>1</v>
      </c>
      <c r="C4" s="2" t="s">
        <v>26</v>
      </c>
      <c r="D4" s="2" t="s">
        <v>20</v>
      </c>
      <c r="E4" s="2" t="s">
        <v>27</v>
      </c>
      <c r="F4" s="2" t="s">
        <v>28</v>
      </c>
      <c r="G4" s="3">
        <v>1.2E-2</v>
      </c>
      <c r="H4" s="2" t="s">
        <v>29</v>
      </c>
      <c r="I4" s="4">
        <f t="shared" si="0"/>
        <v>1.2E-2</v>
      </c>
      <c r="J4" s="5">
        <f>I4*'PCB-PCBA Costing'!$B$4</f>
        <v>0.06</v>
      </c>
      <c r="K4" s="2" t="s">
        <v>17</v>
      </c>
      <c r="L4" s="2"/>
    </row>
    <row r="5" spans="1:12" ht="26.4" x14ac:dyDescent="0.3">
      <c r="A5" s="2" t="s">
        <v>30</v>
      </c>
      <c r="B5" s="2">
        <v>4</v>
      </c>
      <c r="C5" s="2" t="s">
        <v>31</v>
      </c>
      <c r="D5" s="2" t="s">
        <v>20</v>
      </c>
      <c r="E5" s="2" t="s">
        <v>32</v>
      </c>
      <c r="F5" s="2" t="s">
        <v>33</v>
      </c>
      <c r="G5" s="6">
        <v>6.3E-3</v>
      </c>
      <c r="H5" s="2" t="s">
        <v>34</v>
      </c>
      <c r="I5" s="4">
        <f t="shared" si="0"/>
        <v>2.52E-2</v>
      </c>
      <c r="J5" s="5">
        <f>I5*'PCB-PCBA Costing'!$B$4</f>
        <v>0.126</v>
      </c>
      <c r="K5" s="2" t="s">
        <v>24</v>
      </c>
      <c r="L5" s="2"/>
    </row>
    <row r="6" spans="1:12" x14ac:dyDescent="0.3">
      <c r="A6" s="2" t="s">
        <v>35</v>
      </c>
      <c r="B6" s="2">
        <v>1</v>
      </c>
      <c r="C6" s="2" t="s">
        <v>36</v>
      </c>
      <c r="D6" s="2" t="s">
        <v>20</v>
      </c>
      <c r="E6" s="2" t="s">
        <v>37</v>
      </c>
      <c r="F6" s="2" t="s">
        <v>28</v>
      </c>
      <c r="G6" s="3">
        <v>8.9999999999999993E-3</v>
      </c>
      <c r="H6" s="2" t="s">
        <v>38</v>
      </c>
      <c r="I6" s="4">
        <f t="shared" si="0"/>
        <v>8.9999999999999993E-3</v>
      </c>
      <c r="J6" s="5">
        <f>I6*'PCB-PCBA Costing'!$B$4</f>
        <v>4.4999999999999998E-2</v>
      </c>
      <c r="K6" s="2" t="s">
        <v>17</v>
      </c>
      <c r="L6" s="2"/>
    </row>
    <row r="7" spans="1:12" x14ac:dyDescent="0.3">
      <c r="A7" s="2" t="s">
        <v>39</v>
      </c>
      <c r="B7" s="2">
        <v>1</v>
      </c>
      <c r="C7" s="2" t="s">
        <v>40</v>
      </c>
      <c r="D7" s="2" t="s">
        <v>41</v>
      </c>
      <c r="E7" s="2" t="s">
        <v>42</v>
      </c>
      <c r="F7" s="2" t="s">
        <v>43</v>
      </c>
      <c r="G7" s="6">
        <v>1.24E-2</v>
      </c>
      <c r="H7" s="2" t="s">
        <v>34</v>
      </c>
      <c r="I7" s="4">
        <f t="shared" si="0"/>
        <v>1.24E-2</v>
      </c>
      <c r="J7" s="5">
        <f>I7*'PCB-PCBA Costing'!$B$4</f>
        <v>6.2E-2</v>
      </c>
      <c r="K7" s="2" t="s">
        <v>24</v>
      </c>
      <c r="L7" s="2"/>
    </row>
    <row r="8" spans="1:12" x14ac:dyDescent="0.3">
      <c r="A8" s="2" t="s">
        <v>44</v>
      </c>
      <c r="B8" s="2">
        <v>1</v>
      </c>
      <c r="C8" s="2" t="s">
        <v>45</v>
      </c>
      <c r="D8" s="2" t="s">
        <v>46</v>
      </c>
      <c r="E8" s="2" t="s">
        <v>47</v>
      </c>
      <c r="F8" s="2" t="s">
        <v>48</v>
      </c>
      <c r="G8" s="6">
        <v>1.3299999999999999E-2</v>
      </c>
      <c r="H8" s="2" t="s">
        <v>34</v>
      </c>
      <c r="I8" s="4">
        <f t="shared" si="0"/>
        <v>1.3299999999999999E-2</v>
      </c>
      <c r="J8" s="5">
        <f>I8*'PCB-PCBA Costing'!$B$4</f>
        <v>6.6500000000000004E-2</v>
      </c>
      <c r="K8" s="2" t="s">
        <v>49</v>
      </c>
      <c r="L8" s="2"/>
    </row>
    <row r="9" spans="1:12" ht="26.4" x14ac:dyDescent="0.3">
      <c r="A9" s="2" t="s">
        <v>50</v>
      </c>
      <c r="B9" s="2">
        <v>1</v>
      </c>
      <c r="C9" s="2" t="s">
        <v>51</v>
      </c>
      <c r="D9" s="2" t="s">
        <v>52</v>
      </c>
      <c r="E9" s="2" t="s">
        <v>53</v>
      </c>
      <c r="F9" s="2" t="s">
        <v>54</v>
      </c>
      <c r="G9" s="6">
        <v>0.1857</v>
      </c>
      <c r="H9" s="2" t="s">
        <v>55</v>
      </c>
      <c r="I9" s="4">
        <f t="shared" si="0"/>
        <v>0.1857</v>
      </c>
      <c r="J9" s="5">
        <f>I9*'PCB-PCBA Costing'!$B$4</f>
        <v>0.92849999999999999</v>
      </c>
      <c r="K9" s="2" t="s">
        <v>24</v>
      </c>
      <c r="L9" s="2"/>
    </row>
    <row r="10" spans="1:12" ht="26.4" x14ac:dyDescent="0.3">
      <c r="A10" s="2" t="s">
        <v>56</v>
      </c>
      <c r="B10" s="2">
        <v>1</v>
      </c>
      <c r="C10" s="2" t="s">
        <v>57</v>
      </c>
      <c r="D10" s="2" t="s">
        <v>58</v>
      </c>
      <c r="E10" s="2" t="s">
        <v>59</v>
      </c>
      <c r="F10" s="2" t="s">
        <v>60</v>
      </c>
      <c r="G10" s="6">
        <v>1.1151</v>
      </c>
      <c r="H10" s="2" t="s">
        <v>61</v>
      </c>
      <c r="I10" s="4">
        <f t="shared" si="0"/>
        <v>1.1151</v>
      </c>
      <c r="J10" s="5">
        <f>I10*'PCB-PCBA Costing'!$B$4</f>
        <v>5.5754999999999999</v>
      </c>
      <c r="K10" s="2" t="s">
        <v>49</v>
      </c>
      <c r="L10" s="2"/>
    </row>
    <row r="11" spans="1:12" x14ac:dyDescent="0.3">
      <c r="A11" s="2" t="s">
        <v>62</v>
      </c>
      <c r="B11" s="2">
        <v>1</v>
      </c>
      <c r="C11" s="2" t="s">
        <v>63</v>
      </c>
      <c r="D11" s="2" t="s">
        <v>64</v>
      </c>
      <c r="E11" s="2" t="s">
        <v>65</v>
      </c>
      <c r="F11" s="2" t="s">
        <v>66</v>
      </c>
      <c r="G11" s="6">
        <v>3.3300000000000003E-2</v>
      </c>
      <c r="H11" s="2" t="s">
        <v>67</v>
      </c>
      <c r="I11" s="4">
        <f t="shared" si="0"/>
        <v>3.3300000000000003E-2</v>
      </c>
      <c r="J11" s="5">
        <f>I11*'PCB-PCBA Costing'!$B$4</f>
        <v>0.16650000000000001</v>
      </c>
      <c r="K11" s="2" t="s">
        <v>24</v>
      </c>
      <c r="L11" s="2"/>
    </row>
    <row r="12" spans="1:12" x14ac:dyDescent="0.3">
      <c r="A12" s="2" t="s">
        <v>68</v>
      </c>
      <c r="B12" s="2">
        <v>1</v>
      </c>
      <c r="C12" s="2" t="s">
        <v>69</v>
      </c>
      <c r="D12" s="2" t="s">
        <v>70</v>
      </c>
      <c r="E12" s="2" t="s">
        <v>71</v>
      </c>
      <c r="F12" s="2" t="s">
        <v>72</v>
      </c>
      <c r="G12" s="6">
        <v>0.19389999999999999</v>
      </c>
      <c r="H12" s="2" t="s">
        <v>55</v>
      </c>
      <c r="I12" s="4">
        <f t="shared" si="0"/>
        <v>0.19389999999999999</v>
      </c>
      <c r="J12" s="5">
        <f>I12*'PCB-PCBA Costing'!$B$4</f>
        <v>0.96949999999999992</v>
      </c>
      <c r="K12" s="2" t="s">
        <v>24</v>
      </c>
      <c r="L12" s="2"/>
    </row>
    <row r="13" spans="1:12" x14ac:dyDescent="0.3">
      <c r="A13" s="2" t="s">
        <v>73</v>
      </c>
      <c r="B13" s="2">
        <v>1</v>
      </c>
      <c r="C13" s="2" t="s">
        <v>74</v>
      </c>
      <c r="D13" s="2" t="s">
        <v>75</v>
      </c>
      <c r="E13" s="2" t="s">
        <v>76</v>
      </c>
      <c r="F13" s="2" t="s">
        <v>77</v>
      </c>
      <c r="G13" s="6">
        <v>8.9300000000000004E-2</v>
      </c>
      <c r="H13" s="2" t="s">
        <v>55</v>
      </c>
      <c r="I13" s="4">
        <f t="shared" si="0"/>
        <v>8.9300000000000004E-2</v>
      </c>
      <c r="J13" s="5">
        <f>I13*'PCB-PCBA Costing'!$B$4</f>
        <v>0.44650000000000001</v>
      </c>
      <c r="K13" s="2" t="s">
        <v>49</v>
      </c>
      <c r="L13" s="2"/>
    </row>
    <row r="14" spans="1:12" x14ac:dyDescent="0.3">
      <c r="A14" s="2" t="s">
        <v>78</v>
      </c>
      <c r="B14" s="2">
        <v>1</v>
      </c>
      <c r="C14" s="2" t="s">
        <v>79</v>
      </c>
      <c r="D14" s="2" t="s">
        <v>80</v>
      </c>
      <c r="E14" s="2" t="s">
        <v>81</v>
      </c>
      <c r="F14" s="2" t="s">
        <v>82</v>
      </c>
      <c r="G14" s="6">
        <v>1.49E-2</v>
      </c>
      <c r="H14" s="2" t="s">
        <v>34</v>
      </c>
      <c r="I14" s="4">
        <f t="shared" si="0"/>
        <v>1.49E-2</v>
      </c>
      <c r="J14" s="5">
        <f>I14*'PCB-PCBA Costing'!$B$4</f>
        <v>7.4499999999999997E-2</v>
      </c>
      <c r="K14" s="2" t="s">
        <v>24</v>
      </c>
      <c r="L14" s="2"/>
    </row>
    <row r="15" spans="1:12" ht="26.4" x14ac:dyDescent="0.3">
      <c r="A15" s="2" t="s">
        <v>83</v>
      </c>
      <c r="B15" s="2">
        <v>3</v>
      </c>
      <c r="C15" s="2" t="s">
        <v>84</v>
      </c>
      <c r="D15" s="2" t="s">
        <v>85</v>
      </c>
      <c r="E15" s="2" t="s">
        <v>86</v>
      </c>
      <c r="F15" s="2" t="s">
        <v>28</v>
      </c>
      <c r="G15" s="3">
        <v>4.1000000000000003E-3</v>
      </c>
      <c r="H15" s="2" t="s">
        <v>87</v>
      </c>
      <c r="I15" s="4">
        <f t="shared" si="0"/>
        <v>1.2300000000000002E-2</v>
      </c>
      <c r="J15" s="5">
        <f>I15*'PCB-PCBA Costing'!$B$4</f>
        <v>6.1500000000000013E-2</v>
      </c>
      <c r="K15" s="2" t="s">
        <v>17</v>
      </c>
      <c r="L15" s="2"/>
    </row>
    <row r="16" spans="1:12" x14ac:dyDescent="0.3">
      <c r="A16" s="2" t="s">
        <v>88</v>
      </c>
      <c r="B16" s="2">
        <v>2</v>
      </c>
      <c r="C16" s="2" t="s">
        <v>89</v>
      </c>
      <c r="D16" s="2" t="s">
        <v>85</v>
      </c>
      <c r="E16" s="2" t="s">
        <v>86</v>
      </c>
      <c r="F16" s="2" t="s">
        <v>28</v>
      </c>
      <c r="G16" s="3">
        <v>4.1000000000000003E-3</v>
      </c>
      <c r="H16" s="2" t="s">
        <v>90</v>
      </c>
      <c r="I16" s="4">
        <f t="shared" si="0"/>
        <v>8.2000000000000007E-3</v>
      </c>
      <c r="J16" s="5">
        <f>I16*'PCB-PCBA Costing'!$B$4</f>
        <v>4.1000000000000002E-2</v>
      </c>
      <c r="K16" s="2" t="s">
        <v>17</v>
      </c>
      <c r="L16" s="2"/>
    </row>
    <row r="17" spans="1:12" x14ac:dyDescent="0.3">
      <c r="A17" s="2" t="s">
        <v>91</v>
      </c>
      <c r="B17" s="2">
        <v>1</v>
      </c>
      <c r="C17" s="2" t="s">
        <v>92</v>
      </c>
      <c r="D17" s="2" t="s">
        <v>85</v>
      </c>
      <c r="E17" s="2" t="s">
        <v>86</v>
      </c>
      <c r="F17" s="2" t="s">
        <v>28</v>
      </c>
      <c r="G17" s="3">
        <v>4.1000000000000003E-3</v>
      </c>
      <c r="H17" s="2" t="s">
        <v>90</v>
      </c>
      <c r="I17" s="4">
        <f t="shared" si="0"/>
        <v>4.1000000000000003E-3</v>
      </c>
      <c r="J17" s="5">
        <f>I17*'PCB-PCBA Costing'!$B$4</f>
        <v>2.0500000000000001E-2</v>
      </c>
      <c r="K17" s="2" t="s">
        <v>17</v>
      </c>
      <c r="L17" s="2"/>
    </row>
    <row r="18" spans="1:12" x14ac:dyDescent="0.3">
      <c r="A18" s="2" t="s">
        <v>93</v>
      </c>
      <c r="B18" s="2">
        <v>1</v>
      </c>
      <c r="C18" s="2" t="s">
        <v>94</v>
      </c>
      <c r="D18" s="2" t="s">
        <v>85</v>
      </c>
      <c r="E18" s="2" t="s">
        <v>86</v>
      </c>
      <c r="F18" s="2" t="s">
        <v>28</v>
      </c>
      <c r="G18" s="3">
        <v>4.1000000000000003E-3</v>
      </c>
      <c r="H18" s="2" t="s">
        <v>90</v>
      </c>
      <c r="I18" s="4">
        <f t="shared" si="0"/>
        <v>4.1000000000000003E-3</v>
      </c>
      <c r="J18" s="5">
        <f>I18*'PCB-PCBA Costing'!$B$4</f>
        <v>2.0500000000000001E-2</v>
      </c>
      <c r="K18" s="2" t="s">
        <v>17</v>
      </c>
      <c r="L18" s="2"/>
    </row>
    <row r="19" spans="1:12" x14ac:dyDescent="0.3">
      <c r="A19" s="2" t="s">
        <v>95</v>
      </c>
      <c r="B19" s="2">
        <v>2</v>
      </c>
      <c r="C19" s="2" t="s">
        <v>96</v>
      </c>
      <c r="D19" s="2" t="s">
        <v>85</v>
      </c>
      <c r="E19" s="2" t="s">
        <v>86</v>
      </c>
      <c r="F19" s="2" t="s">
        <v>28</v>
      </c>
      <c r="G19" s="3">
        <v>4.1000000000000003E-3</v>
      </c>
      <c r="H19" s="2" t="s">
        <v>90</v>
      </c>
      <c r="I19" s="4">
        <f t="shared" si="0"/>
        <v>8.2000000000000007E-3</v>
      </c>
      <c r="J19" s="5">
        <f>I19*'PCB-PCBA Costing'!$B$4</f>
        <v>4.1000000000000002E-2</v>
      </c>
      <c r="K19" s="2" t="s">
        <v>17</v>
      </c>
      <c r="L19" s="2"/>
    </row>
    <row r="20" spans="1:12" x14ac:dyDescent="0.3">
      <c r="A20" s="2" t="s">
        <v>97</v>
      </c>
      <c r="B20" s="2">
        <v>1</v>
      </c>
      <c r="C20" s="2" t="s">
        <v>98</v>
      </c>
      <c r="D20" s="2" t="s">
        <v>85</v>
      </c>
      <c r="E20" s="2" t="s">
        <v>86</v>
      </c>
      <c r="F20" s="2" t="s">
        <v>28</v>
      </c>
      <c r="G20" s="3">
        <v>4.1000000000000003E-3</v>
      </c>
      <c r="H20" s="2" t="s">
        <v>90</v>
      </c>
      <c r="I20" s="4">
        <f t="shared" si="0"/>
        <v>4.1000000000000003E-3</v>
      </c>
      <c r="J20" s="5">
        <f>I20*'PCB-PCBA Costing'!$B$4</f>
        <v>2.0500000000000001E-2</v>
      </c>
      <c r="K20" s="2" t="s">
        <v>17</v>
      </c>
      <c r="L20" s="2"/>
    </row>
    <row r="21" spans="1:12" x14ac:dyDescent="0.3">
      <c r="A21" s="2" t="s">
        <v>99</v>
      </c>
      <c r="B21" s="2">
        <v>2</v>
      </c>
      <c r="C21" s="2" t="s">
        <v>100</v>
      </c>
      <c r="D21" s="2" t="s">
        <v>85</v>
      </c>
      <c r="E21" s="2" t="s">
        <v>86</v>
      </c>
      <c r="F21" s="2" t="s">
        <v>28</v>
      </c>
      <c r="G21" s="3">
        <v>4.1000000000000003E-3</v>
      </c>
      <c r="H21" s="2" t="s">
        <v>90</v>
      </c>
      <c r="I21" s="4">
        <f t="shared" si="0"/>
        <v>8.2000000000000007E-3</v>
      </c>
      <c r="J21" s="5">
        <f>I21*'PCB-PCBA Costing'!$B$4</f>
        <v>4.1000000000000002E-2</v>
      </c>
      <c r="K21" s="2" t="s">
        <v>17</v>
      </c>
      <c r="L21" s="2"/>
    </row>
    <row r="22" spans="1:12" x14ac:dyDescent="0.3">
      <c r="A22" s="2" t="s">
        <v>101</v>
      </c>
      <c r="B22" s="2">
        <v>2</v>
      </c>
      <c r="C22" s="2" t="s">
        <v>102</v>
      </c>
      <c r="D22" s="2" t="s">
        <v>85</v>
      </c>
      <c r="E22" s="2" t="s">
        <v>86</v>
      </c>
      <c r="F22" s="2" t="s">
        <v>28</v>
      </c>
      <c r="G22" s="3">
        <v>4.1000000000000003E-3</v>
      </c>
      <c r="H22" s="2" t="s">
        <v>90</v>
      </c>
      <c r="I22" s="4">
        <f t="shared" si="0"/>
        <v>8.2000000000000007E-3</v>
      </c>
      <c r="J22" s="5">
        <f>I22*'PCB-PCBA Costing'!$B$4</f>
        <v>4.1000000000000002E-2</v>
      </c>
      <c r="K22" s="2" t="s">
        <v>17</v>
      </c>
      <c r="L22" s="2"/>
    </row>
    <row r="23" spans="1:12" x14ac:dyDescent="0.3">
      <c r="A23" s="2" t="s">
        <v>103</v>
      </c>
      <c r="B23" s="2">
        <v>5</v>
      </c>
      <c r="C23" s="2" t="s">
        <v>104</v>
      </c>
      <c r="D23" s="2" t="s">
        <v>105</v>
      </c>
      <c r="E23" s="2" t="s">
        <v>106</v>
      </c>
      <c r="F23" s="2" t="s">
        <v>107</v>
      </c>
      <c r="G23" s="6">
        <v>0.40820000000000001</v>
      </c>
      <c r="H23" s="2" t="s">
        <v>108</v>
      </c>
      <c r="I23" s="4">
        <f t="shared" si="0"/>
        <v>2.0409999999999999</v>
      </c>
      <c r="J23" s="5">
        <f>I23*'PCB-PCBA Costing'!$B$4</f>
        <v>10.205</v>
      </c>
      <c r="K23" s="2" t="s">
        <v>49</v>
      </c>
      <c r="L23" s="2"/>
    </row>
    <row r="24" spans="1:12" x14ac:dyDescent="0.3">
      <c r="A24" s="2" t="s">
        <v>109</v>
      </c>
      <c r="B24" s="2">
        <v>1</v>
      </c>
      <c r="C24" s="2" t="s">
        <v>110</v>
      </c>
      <c r="D24" s="2" t="s">
        <v>111</v>
      </c>
      <c r="E24" s="2" t="s">
        <v>112</v>
      </c>
      <c r="F24" s="2" t="s">
        <v>113</v>
      </c>
      <c r="G24" s="6">
        <v>5.5355999999999996</v>
      </c>
      <c r="H24" s="2" t="s">
        <v>114</v>
      </c>
      <c r="I24" s="4">
        <f t="shared" si="0"/>
        <v>5.5355999999999996</v>
      </c>
      <c r="J24" s="5">
        <f>I24*'PCB-PCBA Costing'!$B$4</f>
        <v>27.677999999999997</v>
      </c>
      <c r="K24" s="2" t="s">
        <v>24</v>
      </c>
      <c r="L24" s="2"/>
    </row>
    <row r="25" spans="1:12" x14ac:dyDescent="0.3">
      <c r="A25" s="2" t="s">
        <v>115</v>
      </c>
      <c r="B25" s="2">
        <v>1</v>
      </c>
      <c r="C25" s="2" t="s">
        <v>116</v>
      </c>
      <c r="D25" s="2" t="s">
        <v>117</v>
      </c>
      <c r="E25" s="2" t="s">
        <v>118</v>
      </c>
      <c r="F25" s="2" t="s">
        <v>119</v>
      </c>
      <c r="G25" s="6">
        <v>1.5891</v>
      </c>
      <c r="H25" s="2" t="s">
        <v>120</v>
      </c>
      <c r="I25" s="4">
        <f t="shared" si="0"/>
        <v>1.5891</v>
      </c>
      <c r="J25" s="5">
        <f>I25*'PCB-PCBA Costing'!$B$4</f>
        <v>7.9455</v>
      </c>
      <c r="K25" s="2" t="s">
        <v>24</v>
      </c>
      <c r="L25" s="2"/>
    </row>
    <row r="26" spans="1:12" x14ac:dyDescent="0.3">
      <c r="A26" s="2" t="s">
        <v>121</v>
      </c>
      <c r="B26" s="2">
        <v>1</v>
      </c>
      <c r="C26" s="2" t="s">
        <v>122</v>
      </c>
      <c r="D26" s="2" t="s">
        <v>123</v>
      </c>
      <c r="E26" s="2" t="s">
        <v>124</v>
      </c>
      <c r="F26" s="2" t="s">
        <v>125</v>
      </c>
      <c r="G26" s="6">
        <v>0.1305</v>
      </c>
      <c r="H26" s="2" t="s">
        <v>55</v>
      </c>
      <c r="I26" s="4">
        <f t="shared" si="0"/>
        <v>0.1305</v>
      </c>
      <c r="J26" s="5">
        <f>I26*'PCB-PCBA Costing'!$B$4</f>
        <v>0.65250000000000008</v>
      </c>
      <c r="K26" s="2" t="s">
        <v>24</v>
      </c>
      <c r="L26" s="2"/>
    </row>
    <row r="27" spans="1:12" x14ac:dyDescent="0.3">
      <c r="A27" s="2" t="s">
        <v>126</v>
      </c>
      <c r="B27" s="2">
        <v>1</v>
      </c>
      <c r="C27" s="2" t="s">
        <v>127</v>
      </c>
      <c r="D27" s="2" t="s">
        <v>128</v>
      </c>
      <c r="E27" s="2" t="s">
        <v>129</v>
      </c>
      <c r="F27" s="2" t="s">
        <v>130</v>
      </c>
      <c r="G27" s="6">
        <v>0.1283</v>
      </c>
      <c r="H27" s="2" t="s">
        <v>131</v>
      </c>
      <c r="I27" s="4">
        <f t="shared" si="0"/>
        <v>0.1283</v>
      </c>
      <c r="J27" s="5">
        <f>I27*'PCB-PCBA Costing'!$B$4</f>
        <v>0.64149999999999996</v>
      </c>
      <c r="K27" s="2" t="s">
        <v>24</v>
      </c>
      <c r="L27" s="2"/>
    </row>
    <row r="28" spans="1:12" ht="26.4" x14ac:dyDescent="0.3">
      <c r="A28" s="2" t="s">
        <v>132</v>
      </c>
      <c r="B28" s="2">
        <v>1</v>
      </c>
      <c r="C28" s="2" t="s">
        <v>133</v>
      </c>
      <c r="D28" s="2" t="s">
        <v>134</v>
      </c>
      <c r="E28" s="2" t="s">
        <v>135</v>
      </c>
      <c r="F28" s="2" t="s">
        <v>136</v>
      </c>
      <c r="G28" s="6">
        <v>16.4146</v>
      </c>
      <c r="H28" s="2" t="s">
        <v>137</v>
      </c>
      <c r="I28" s="4">
        <f t="shared" si="0"/>
        <v>16.4146</v>
      </c>
      <c r="J28" s="5">
        <f>I28*'PCB-PCBA Costing'!$B$4</f>
        <v>82.073000000000008</v>
      </c>
      <c r="K28" s="2" t="s">
        <v>49</v>
      </c>
      <c r="L28" s="2"/>
    </row>
    <row r="29" spans="1:12" ht="26.4" x14ac:dyDescent="0.3">
      <c r="A29" s="2" t="s">
        <v>138</v>
      </c>
      <c r="B29" s="2">
        <v>1</v>
      </c>
      <c r="C29" s="2" t="s">
        <v>139</v>
      </c>
      <c r="D29" s="2" t="s">
        <v>140</v>
      </c>
      <c r="E29" s="2" t="s">
        <v>141</v>
      </c>
      <c r="F29" s="2" t="s">
        <v>142</v>
      </c>
      <c r="G29" s="6">
        <v>2.8</v>
      </c>
      <c r="H29" s="2" t="s">
        <v>143</v>
      </c>
      <c r="I29" s="4">
        <f t="shared" si="0"/>
        <v>2.8</v>
      </c>
      <c r="J29" s="5">
        <f>I29*'PCB-PCBA Costing'!$B$4</f>
        <v>14</v>
      </c>
      <c r="K29" s="2" t="s">
        <v>49</v>
      </c>
      <c r="L29" s="2"/>
    </row>
    <row r="30" spans="1:12" x14ac:dyDescent="0.3">
      <c r="A30" s="2" t="s">
        <v>144</v>
      </c>
      <c r="B30" s="2">
        <v>1</v>
      </c>
      <c r="C30" s="2" t="s">
        <v>145</v>
      </c>
      <c r="D30" s="2" t="s">
        <v>146</v>
      </c>
      <c r="E30" s="2" t="s">
        <v>147</v>
      </c>
      <c r="F30" s="2" t="s">
        <v>148</v>
      </c>
      <c r="G30" s="6">
        <v>1.8389</v>
      </c>
      <c r="H30" s="2" t="s">
        <v>149</v>
      </c>
      <c r="I30" s="4">
        <f t="shared" si="0"/>
        <v>1.8389</v>
      </c>
      <c r="J30" s="5">
        <f>I30*'PCB-PCBA Costing'!$B$4</f>
        <v>9.1944999999999997</v>
      </c>
      <c r="K30" s="2" t="s">
        <v>24</v>
      </c>
      <c r="L30" s="2"/>
    </row>
    <row r="32" spans="1:12" x14ac:dyDescent="0.3">
      <c r="A32" s="7" t="s">
        <v>150</v>
      </c>
      <c r="I32" s="8">
        <f>SUM(I2:I30)</f>
        <v>33.525700000000001</v>
      </c>
      <c r="J32" s="8">
        <f>SUM(J2:J30)</f>
        <v>167.62850000000003</v>
      </c>
    </row>
    <row r="33" spans="1:10" x14ac:dyDescent="0.3">
      <c r="A33" s="7" t="s">
        <v>151</v>
      </c>
      <c r="I33" s="8">
        <f>J33/'PCB-PCBA Costing'!$B$4</f>
        <v>0.4</v>
      </c>
      <c r="J33" s="8">
        <f>'PCB-PCBA Costing'!B5</f>
        <v>2</v>
      </c>
    </row>
    <row r="34" spans="1:10" x14ac:dyDescent="0.3">
      <c r="A34" s="7" t="s">
        <v>152</v>
      </c>
      <c r="I34" s="8">
        <f>J34/'PCB-PCBA Costing'!$B$4</f>
        <v>7.958499999999999</v>
      </c>
      <c r="J34" s="8">
        <f>'PCB-PCBA Costing'!B23</f>
        <v>39.792499999999997</v>
      </c>
    </row>
    <row r="35" spans="1:10" x14ac:dyDescent="0.3">
      <c r="A35" s="7" t="s">
        <v>153</v>
      </c>
      <c r="I35" s="8">
        <f>J35/'PCB-PCBA Costing'!$B$4</f>
        <v>41.884200000000007</v>
      </c>
      <c r="J35" s="9">
        <f>SUM(J32:J34)</f>
        <v>209.42100000000002</v>
      </c>
    </row>
    <row r="36" spans="1:10" x14ac:dyDescent="0.3">
      <c r="A36" s="7" t="s">
        <v>154</v>
      </c>
      <c r="J36" s="7">
        <v>5</v>
      </c>
    </row>
    <row r="37" spans="1:10" x14ac:dyDescent="0.3">
      <c r="A37" s="7" t="s">
        <v>155</v>
      </c>
      <c r="J37" s="8">
        <f>J35/J36</f>
        <v>41.884200000000007</v>
      </c>
    </row>
    <row r="39" spans="1:10" x14ac:dyDescent="0.3">
      <c r="A39" s="1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8"/>
  <sheetViews>
    <sheetView topLeftCell="A13" zoomScaleNormal="100" workbookViewId="0"/>
  </sheetViews>
  <sheetFormatPr defaultColWidth="8.6640625" defaultRowHeight="14.4" x14ac:dyDescent="0.3"/>
  <cols>
    <col min="1" max="1" width="40" customWidth="1"/>
    <col min="2" max="2" width="14" customWidth="1"/>
    <col min="3" max="3" width="90" customWidth="1"/>
    <col min="4" max="4" width="50" customWidth="1"/>
  </cols>
  <sheetData>
    <row r="1" spans="1:4" ht="15.6" x14ac:dyDescent="0.3">
      <c r="A1" s="11" t="s">
        <v>156</v>
      </c>
    </row>
    <row r="3" spans="1:4" x14ac:dyDescent="0.3">
      <c r="A3" s="12" t="s">
        <v>157</v>
      </c>
      <c r="B3" s="12" t="s">
        <v>2</v>
      </c>
      <c r="C3" s="12" t="s">
        <v>158</v>
      </c>
      <c r="D3" s="12" t="s">
        <v>159</v>
      </c>
    </row>
    <row r="4" spans="1:4" x14ac:dyDescent="0.3">
      <c r="A4" s="13" t="s">
        <v>160</v>
      </c>
      <c r="B4" s="14">
        <v>5</v>
      </c>
      <c r="C4" s="15" t="s">
        <v>161</v>
      </c>
      <c r="D4" s="13"/>
    </row>
    <row r="5" spans="1:4" ht="26.4" x14ac:dyDescent="0.3">
      <c r="A5" s="13" t="s">
        <v>162</v>
      </c>
      <c r="B5" s="16">
        <v>2</v>
      </c>
      <c r="C5" s="15" t="s">
        <v>163</v>
      </c>
      <c r="D5" s="13" t="s">
        <v>164</v>
      </c>
    </row>
    <row r="6" spans="1:4" ht="26.4" x14ac:dyDescent="0.3">
      <c r="A6" s="13" t="s">
        <v>165</v>
      </c>
      <c r="B6" s="16">
        <v>25.56</v>
      </c>
      <c r="C6" s="15" t="s">
        <v>166</v>
      </c>
      <c r="D6" s="13" t="s">
        <v>167</v>
      </c>
    </row>
    <row r="7" spans="1:4" x14ac:dyDescent="0.3">
      <c r="A7" s="13" t="s">
        <v>168</v>
      </c>
      <c r="B7" s="16">
        <v>8.2100000000000009</v>
      </c>
      <c r="C7" s="15" t="s">
        <v>169</v>
      </c>
      <c r="D7" s="13" t="s">
        <v>167</v>
      </c>
    </row>
    <row r="8" spans="1:4" ht="26.4" x14ac:dyDescent="0.3">
      <c r="A8" s="13" t="s">
        <v>170</v>
      </c>
      <c r="B8" s="14">
        <v>218</v>
      </c>
      <c r="C8" s="15" t="s">
        <v>171</v>
      </c>
      <c r="D8" s="13"/>
    </row>
    <row r="9" spans="1:4" x14ac:dyDescent="0.3">
      <c r="A9" s="13" t="s">
        <v>172</v>
      </c>
      <c r="B9" s="17">
        <v>1.6000000000000001E-3</v>
      </c>
      <c r="C9" s="15" t="s">
        <v>173</v>
      </c>
      <c r="D9" s="13" t="s">
        <v>174</v>
      </c>
    </row>
    <row r="10" spans="1:4" x14ac:dyDescent="0.3">
      <c r="A10" s="13" t="s">
        <v>175</v>
      </c>
      <c r="B10" s="14">
        <v>9</v>
      </c>
      <c r="C10" s="15" t="s">
        <v>176</v>
      </c>
      <c r="D10" s="13"/>
    </row>
    <row r="11" spans="1:4" x14ac:dyDescent="0.3">
      <c r="A11" s="13" t="s">
        <v>177</v>
      </c>
      <c r="B11" s="16">
        <v>3.5</v>
      </c>
      <c r="C11" s="15" t="s">
        <v>178</v>
      </c>
      <c r="D11" s="13" t="s">
        <v>179</v>
      </c>
    </row>
    <row r="12" spans="1:4" x14ac:dyDescent="0.3">
      <c r="A12" s="13" t="s">
        <v>180</v>
      </c>
      <c r="B12" s="17">
        <v>1.7299999999999999E-2</v>
      </c>
      <c r="C12" s="15" t="s">
        <v>181</v>
      </c>
      <c r="D12" s="13" t="s">
        <v>179</v>
      </c>
    </row>
    <row r="13" spans="1:4" ht="26.4" x14ac:dyDescent="0.3">
      <c r="A13" s="13" t="s">
        <v>182</v>
      </c>
      <c r="B13" s="16">
        <v>0</v>
      </c>
      <c r="C13" s="15" t="s">
        <v>183</v>
      </c>
      <c r="D13" s="13" t="s">
        <v>167</v>
      </c>
    </row>
    <row r="16" spans="1:4" x14ac:dyDescent="0.3">
      <c r="A16" s="7" t="s">
        <v>184</v>
      </c>
    </row>
    <row r="17" spans="1:2" x14ac:dyDescent="0.3">
      <c r="A17" s="13" t="s">
        <v>185</v>
      </c>
      <c r="B17" s="18">
        <f>B6</f>
        <v>25.56</v>
      </c>
    </row>
    <row r="18" spans="1:2" x14ac:dyDescent="0.3">
      <c r="A18" s="13" t="s">
        <v>186</v>
      </c>
      <c r="B18" s="18">
        <f>B7</f>
        <v>8.2100000000000009</v>
      </c>
    </row>
    <row r="19" spans="1:2" x14ac:dyDescent="0.3">
      <c r="A19" s="13" t="s">
        <v>187</v>
      </c>
      <c r="B19" s="18">
        <f>B9*B8*B4</f>
        <v>1.744</v>
      </c>
    </row>
    <row r="20" spans="1:2" x14ac:dyDescent="0.3">
      <c r="A20" s="13" t="s">
        <v>188</v>
      </c>
      <c r="B20" s="18">
        <f>B11</f>
        <v>3.5</v>
      </c>
    </row>
    <row r="21" spans="1:2" x14ac:dyDescent="0.3">
      <c r="A21" s="13" t="s">
        <v>189</v>
      </c>
      <c r="B21" s="18">
        <f>B12*B10*B4</f>
        <v>0.77849999999999997</v>
      </c>
    </row>
    <row r="22" spans="1:2" x14ac:dyDescent="0.3">
      <c r="A22" s="13" t="s">
        <v>190</v>
      </c>
      <c r="B22" s="18">
        <f>B13</f>
        <v>0</v>
      </c>
    </row>
    <row r="23" spans="1:2" x14ac:dyDescent="0.3">
      <c r="A23" s="7" t="s">
        <v>191</v>
      </c>
      <c r="B23" s="8">
        <f>SUM(B17:B22)</f>
        <v>39.792499999999997</v>
      </c>
    </row>
    <row r="25" spans="1:2" x14ac:dyDescent="0.3">
      <c r="A25" s="7" t="s">
        <v>192</v>
      </c>
    </row>
    <row r="26" spans="1:2" x14ac:dyDescent="0.3">
      <c r="A26" s="13" t="s">
        <v>193</v>
      </c>
    </row>
    <row r="27" spans="1:2" x14ac:dyDescent="0.3">
      <c r="A27" s="13" t="s">
        <v>194</v>
      </c>
    </row>
    <row r="28" spans="1:2" x14ac:dyDescent="0.3">
      <c r="A28" s="13" t="s">
        <v>195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gps_logger bom</vt:lpstr>
      <vt:lpstr>PCB-PCBA Costing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jayakumar ch</cp:lastModifiedBy>
  <cp:revision>0</cp:revision>
  <dcterms:created xsi:type="dcterms:W3CDTF">2026-10-18T12:38:23Z</dcterms:created>
  <dcterms:modified xsi:type="dcterms:W3CDTF">2026-10-18T12:45:36Z</dcterms:modified>
  <dc:language>en-US</dc:language>
</cp:coreProperties>
</file>